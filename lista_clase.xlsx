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pj_sa_202601\"/>
    </mc:Choice>
  </mc:AlternateContent>
  <xr:revisionPtr revIDLastSave="0" documentId="13_ncr:1_{B3F59F81-3FF5-48BC-9CA9-D0DA3BF10C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TAS" sheetId="4" r:id="rId1"/>
    <sheet name="ASISTENCIA " sheetId="1" r:id="rId2"/>
  </sheets>
  <definedNames>
    <definedName name="_xlnm._FilterDatabase" localSheetId="1" hidden="1">'ASISTENCIA '!$A$10:$K$10</definedName>
    <definedName name="_xlnm._FilterDatabase" localSheetId="0" hidden="1">NOTAS!$A$10:$J$10</definedName>
    <definedName name="_xlnm.Print_Area" localSheetId="1">'ASISTENCIA '!$A$1:$E$10</definedName>
    <definedName name="_xlnm.Print_Area" localSheetId="0">NOTAS!$A$1:$E$10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A17" i="1"/>
  <c r="B17" i="1"/>
  <c r="C17" i="1"/>
  <c r="D17" i="1"/>
  <c r="K17" i="1"/>
  <c r="A15" i="1"/>
  <c r="B15" i="1"/>
  <c r="C15" i="1"/>
  <c r="D15" i="1"/>
  <c r="K15" i="1"/>
  <c r="A16" i="1"/>
  <c r="B16" i="1"/>
  <c r="C16" i="1"/>
  <c r="D16" i="1"/>
  <c r="K16" i="1"/>
  <c r="K12" i="1"/>
  <c r="K13" i="1"/>
  <c r="K14" i="1"/>
  <c r="D11" i="1"/>
  <c r="C11" i="1"/>
  <c r="B11" i="1"/>
  <c r="A11" i="1"/>
  <c r="A12" i="1" l="1"/>
  <c r="A13" i="1"/>
  <c r="A14" i="1"/>
  <c r="C8" i="1"/>
  <c r="F7" i="1"/>
  <c r="F8" i="1"/>
  <c r="F6" i="1"/>
  <c r="C7" i="1"/>
  <c r="C6" i="1"/>
  <c r="E7" i="1"/>
  <c r="E8" i="1"/>
  <c r="B7" i="1"/>
  <c r="B8" i="1"/>
  <c r="B12" i="1"/>
  <c r="B13" i="1"/>
  <c r="B14" i="1"/>
  <c r="B10" i="1"/>
  <c r="E6" i="1"/>
  <c r="A1" i="1" l="1"/>
  <c r="C12" i="1" l="1"/>
  <c r="D12" i="1"/>
  <c r="C13" i="1"/>
  <c r="D13" i="1"/>
  <c r="C14" i="1"/>
  <c r="D14" i="1"/>
  <c r="B6" i="1"/>
</calcChain>
</file>

<file path=xl/sharedStrings.xml><?xml version="1.0" encoding="utf-8"?>
<sst xmlns="http://schemas.openxmlformats.org/spreadsheetml/2006/main" count="66" uniqueCount="38">
  <si>
    <t xml:space="preserve">DOCENTE: </t>
  </si>
  <si>
    <t>N°</t>
  </si>
  <si>
    <t>PROG</t>
  </si>
  <si>
    <t>CÉDULA N°</t>
  </si>
  <si>
    <t xml:space="preserve">CORREO </t>
  </si>
  <si>
    <t>NOTA 1</t>
  </si>
  <si>
    <t>NOTA 2</t>
  </si>
  <si>
    <t xml:space="preserve">NOTA FINAL </t>
  </si>
  <si>
    <t>RETROALIMENTACIÓN</t>
  </si>
  <si>
    <t xml:space="preserve">N° HORAS: </t>
  </si>
  <si>
    <t>PERIODO:</t>
  </si>
  <si>
    <t>AÑO:</t>
  </si>
  <si>
    <t>CÓDIGO:</t>
  </si>
  <si>
    <t xml:space="preserve">MÓDULO: </t>
  </si>
  <si>
    <t>APELLIDOS Y NOMBRES</t>
  </si>
  <si>
    <t>TOTAL ASISITENCIA</t>
  </si>
  <si>
    <t xml:space="preserve">                       MAESTRÍA EN ANALÍTICA Y GERENCIA DE DATOS - COHORTE - 5</t>
  </si>
  <si>
    <t>MAGD - 5</t>
  </si>
  <si>
    <t>Arias Pacheco  Jaime Oswaldo</t>
  </si>
  <si>
    <t>oswar17@gmail.com</t>
  </si>
  <si>
    <t>Castro González Juliana Ibeth</t>
  </si>
  <si>
    <t>julibeth17@hotmail.com</t>
  </si>
  <si>
    <t>González Campo Andrea Viviana</t>
  </si>
  <si>
    <t>andregonzalezc94@gmail.com</t>
  </si>
  <si>
    <t>Pardo Ruiz Johan Sebastian</t>
  </si>
  <si>
    <t>johanpardoruiz@gmail.com</t>
  </si>
  <si>
    <t>Sierra Vallejo Andres Felipe</t>
  </si>
  <si>
    <t>andresfelipe180890@gmail.com</t>
  </si>
  <si>
    <t>Alvarez Navarro Erika Yamile</t>
  </si>
  <si>
    <t>erikaalvareznavarro@gmail.com</t>
  </si>
  <si>
    <t>2025 - 20</t>
  </si>
  <si>
    <t>CASOS DE ESTUDIO APLICADOS AL SECTOR FINANCIERO</t>
  </si>
  <si>
    <t>XIMENA QUIROGA</t>
  </si>
  <si>
    <t>POS51776</t>
  </si>
  <si>
    <t>Avila Marcela</t>
  </si>
  <si>
    <t>marce12194@gmail.com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</si>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</sst>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###,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sz val="8"/>
      <color rgb="FF1F497D"/>
      <name val="Verdana"/>
      <family val="2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b/>
      <sz val="8"/>
      <color rgb="FF1F497D"/>
      <name val="Verdana"/>
      <family val="2"/>
    </font>
    <font>
      <b/>
      <sz val="24"/>
      <color theme="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  <font>
      <b/>
      <sz val="12"/>
      <color theme="0"/>
      <name val="Aptos"/>
      <family val="2"/>
    </font>
    <font>
      <sz val="12"/>
      <name val="Aptos"/>
      <family val="2"/>
    </font>
    <font>
      <sz val="14"/>
      <name val="Aptos"/>
      <family val="2"/>
    </font>
    <font>
      <u/>
      <sz val="12"/>
      <color theme="10"/>
      <name val="Calibri Light"/>
      <family val="2"/>
    </font>
    <font>
      <sz val="12"/>
      <color theme="1"/>
      <name val="Aptos Light"/>
    </font>
    <font>
      <u/>
      <sz val="11"/>
      <color theme="10"/>
      <name val="Aptos Light"/>
    </font>
    <font>
      <b/>
      <sz val="12"/>
      <name val="Aptos Light"/>
    </font>
    <font>
      <b/>
      <sz val="14"/>
      <color theme="1"/>
      <name val="Aptos Light"/>
    </font>
    <font>
      <sz val="14"/>
      <color theme="1"/>
      <name val="Aptos Light"/>
    </font>
    <font>
      <sz val="14"/>
      <color rgb="FF000000"/>
      <name val="Aptos Light"/>
    </font>
    <font>
      <b/>
      <sz val="22"/>
      <color theme="0"/>
      <name val="Aptos"/>
      <family val="2"/>
    </font>
    <font>
      <sz val="12"/>
      <color theme="1"/>
      <name val="Aptos"/>
      <family val="2"/>
    </font>
    <font>
      <b/>
      <sz val="12"/>
      <color indexed="8"/>
      <name val="Calibri Light"/>
      <family val="2"/>
    </font>
    <font>
      <sz val="12"/>
      <color theme="1"/>
      <name val="Calibri Light"/>
      <family val="2"/>
    </font>
    <font>
      <b/>
      <sz val="12"/>
      <name val="Aptos"/>
    </font>
  </fonts>
  <fills count="9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166" fontId="8" fillId="2" borderId="1" applyNumberFormat="0" applyAlignment="0" applyProtection="0">
      <alignment horizontal="left" vertical="center" indent="1"/>
    </xf>
    <xf numFmtId="0" fontId="7" fillId="0" borderId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4" borderId="1" applyNumberFormat="0" applyAlignment="0" applyProtection="0">
      <alignment horizontal="left" vertical="center" indent="1"/>
    </xf>
    <xf numFmtId="41" fontId="1" fillId="0" borderId="0" applyFont="0" applyFill="0" applyBorder="0" applyAlignment="0" applyProtection="0"/>
  </cellStyleXfs>
  <cellXfs count="58">
    <xf numFmtId="0" fontId="0" fillId="0" borderId="0" xfId="0"/>
    <xf numFmtId="0" fontId="19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 wrapText="1"/>
    </xf>
    <xf numFmtId="49" fontId="20" fillId="0" borderId="4" xfId="19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4" xfId="19" applyNumberFormat="1" applyFont="1" applyBorder="1" applyAlignment="1">
      <alignment horizontal="center" vertical="center"/>
    </xf>
    <xf numFmtId="16" fontId="19" fillId="3" borderId="2" xfId="0" applyNumberFormat="1" applyFont="1" applyFill="1" applyBorder="1" applyAlignment="1">
      <alignment horizontal="center" vertical="center"/>
    </xf>
    <xf numFmtId="49" fontId="22" fillId="0" borderId="4" xfId="19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3" fillId="0" borderId="4" xfId="0" applyFont="1" applyBorder="1" applyAlignment="1">
      <alignment vertical="center" wrapText="1"/>
    </xf>
    <xf numFmtId="0" fontId="24" fillId="0" borderId="5" xfId="19" applyFont="1" applyBorder="1" applyAlignment="1">
      <alignment vertical="center"/>
    </xf>
    <xf numFmtId="41" fontId="23" fillId="6" borderId="4" xfId="26" applyFont="1" applyFill="1" applyBorder="1" applyAlignment="1">
      <alignment horizontal="left" vertical="center"/>
    </xf>
    <xf numFmtId="9" fontId="16" fillId="0" borderId="0" xfId="0" applyNumberFormat="1" applyFont="1" applyAlignment="1">
      <alignment vertical="center"/>
    </xf>
    <xf numFmtId="0" fontId="16" fillId="0" borderId="9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25" fillId="5" borderId="4" xfId="14" quotePrefix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27" fillId="0" borderId="0" xfId="0" applyFont="1" applyAlignment="1">
      <alignment horizontal="left" vertical="center"/>
    </xf>
    <xf numFmtId="0" fontId="16" fillId="0" borderId="12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9" fillId="3" borderId="4" xfId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29" fillId="7" borderId="6" xfId="0" applyFont="1" applyFill="1" applyBorder="1" applyAlignment="1">
      <alignment horizontal="center" vertical="center"/>
    </xf>
    <xf numFmtId="0" fontId="29" fillId="7" borderId="7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17" fillId="0" borderId="13" xfId="0" applyFont="1" applyBorder="1" applyAlignment="1">
      <alignment vertical="center"/>
    </xf>
    <xf numFmtId="0" fontId="16" fillId="0" borderId="14" xfId="0" applyFont="1" applyBorder="1" applyAlignment="1">
      <alignment horizontal="left" vertical="center"/>
    </xf>
    <xf numFmtId="0" fontId="31" fillId="8" borderId="4" xfId="0" applyFont="1" applyFill="1" applyBorder="1" applyAlignment="1">
      <alignment horizontal="center" vertical="center"/>
    </xf>
    <xf numFmtId="41" fontId="32" fillId="6" borderId="4" xfId="26" applyFont="1" applyFill="1" applyBorder="1" applyAlignment="1">
      <alignment horizontal="left" vertical="center"/>
    </xf>
    <xf numFmtId="0" fontId="32" fillId="0" borderId="4" xfId="0" applyFont="1" applyBorder="1" applyAlignment="1">
      <alignment vertical="center" wrapText="1"/>
    </xf>
    <xf numFmtId="0" fontId="31" fillId="5" borderId="4" xfId="0" applyFont="1" applyFill="1" applyBorder="1" applyAlignment="1">
      <alignment horizontal="center" vertical="center"/>
    </xf>
    <xf numFmtId="0" fontId="24" fillId="0" borderId="4" xfId="19" applyFont="1" applyBorder="1" applyAlignment="1">
      <alignment vertical="center"/>
    </xf>
    <xf numFmtId="0" fontId="33" fillId="0" borderId="4" xfId="14" quotePrefix="1" applyNumberFormat="1" applyFont="1" applyFill="1" applyBorder="1" applyAlignment="1">
      <alignment horizontal="center" vertical="center"/>
    </xf>
    <xf numFmtId="9" fontId="24" fillId="0" borderId="4" xfId="19" applyNumberFormat="1" applyFont="1" applyBorder="1" applyAlignment="1">
      <alignment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</cellXfs>
  <cellStyles count="27">
    <cellStyle name="Estilo 1" xfId="20" xr:uid="{B07135D9-2C76-48FC-9839-C1D2975978A3}"/>
    <cellStyle name="Hipervínculo" xfId="19" builtinId="8"/>
    <cellStyle name="Hipervínculo 2" xfId="6" xr:uid="{00000000-0005-0000-0000-000001000000}"/>
    <cellStyle name="Hipervínculo 2 2" xfId="23" xr:uid="{AA301038-DEAB-4B43-B494-5832132C42EA}"/>
    <cellStyle name="Hipervínculo 2 3" xfId="22" xr:uid="{87B2010A-3081-4CE5-83CB-4407CB251F14}"/>
    <cellStyle name="Hipervínculo 3" xfId="11" xr:uid="{00000000-0005-0000-0000-000002000000}"/>
    <cellStyle name="Hipervínculo 3 2" xfId="24" xr:uid="{899D3540-1EAC-4EAE-BA96-BE8FD234B710}"/>
    <cellStyle name="Hipervínculo 4" xfId="21" xr:uid="{75983AC5-DB1A-409E-B7F6-87FB4BE05D53}"/>
    <cellStyle name="Hipervínculo visitado" xfId="13" builtinId="9" hidden="1"/>
    <cellStyle name="Hyperlink" xfId="16" xr:uid="{00000000-000B-0000-0000-000008000000}"/>
    <cellStyle name="Millares [0]" xfId="26" builtinId="6"/>
    <cellStyle name="Millares 2" xfId="2" xr:uid="{00000000-0005-0000-0000-000004000000}"/>
    <cellStyle name="Millares 2 2" xfId="17" xr:uid="{2FE42ECF-B4B6-4814-A60E-F3C9121CA8DF}"/>
    <cellStyle name="Moneda 2" xfId="5" xr:uid="{00000000-0005-0000-0000-000005000000}"/>
    <cellStyle name="Moneda 2 2" xfId="18" xr:uid="{0323651A-3DAB-4192-9384-950FF32FC88D}"/>
    <cellStyle name="Normal" xfId="0" builtinId="0"/>
    <cellStyle name="Normal 2" xfId="1" xr:uid="{00000000-0005-0000-0000-000007000000}"/>
    <cellStyle name="Normal 2 2" xfId="7" xr:uid="{00000000-0005-0000-0000-000008000000}"/>
    <cellStyle name="Normal 3" xfId="3" xr:uid="{00000000-0005-0000-0000-000009000000}"/>
    <cellStyle name="Normal 3 2" xfId="12" xr:uid="{00000000-0005-0000-0000-00000A000000}"/>
    <cellStyle name="Normal 4" xfId="8" xr:uid="{00000000-0005-0000-0000-00000B000000}"/>
    <cellStyle name="Normal 5" xfId="9" xr:uid="{00000000-0005-0000-0000-00000C000000}"/>
    <cellStyle name="Normal 6" xfId="10" xr:uid="{00000000-0005-0000-0000-00000D000000}"/>
    <cellStyle name="Normal 7" xfId="15" xr:uid="{00000000-0005-0000-0000-00000E000000}"/>
    <cellStyle name="Porcentaje 2" xfId="4" xr:uid="{00000000-0005-0000-0000-00000F000000}"/>
    <cellStyle name="SAPDimensionCell" xfId="25" xr:uid="{DEC8128C-0882-4C66-8DFB-358F4F2224C2}"/>
    <cellStyle name="SAPMemberCell" xfId="14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179917</xdr:colOff>
      <xdr:row>0</xdr:row>
      <xdr:rowOff>80316</xdr:rowOff>
    </xdr:from>
    <xdr:to>
      <xdr:col>3</xdr:col>
      <xdr:colOff>218017</xdr:colOff>
      <xdr:row>3</xdr:row>
      <xdr:rowOff>145634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4A48E6-879A-8183-6654-2810DAF24C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20" b="17158"/>
        <a:stretch/>
      </xdr:blipFill>
      <xdr:spPr>
        <a:xfrm>
          <a:off x="179917" y="80316"/>
          <a:ext cx="3117850" cy="630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101599</xdr:rowOff>
    </xdr:from>
    <xdr:to>
      <xdr:col>2</xdr:col>
      <xdr:colOff>1185332</xdr:colOff>
      <xdr:row>3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244EDA-9D45-463A-9B22-2E21D52AF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00" t="22520" b="17158"/>
        <a:stretch>
          <a:fillRect/>
        </a:stretch>
      </xdr:blipFill>
      <xdr:spPr>
        <a:xfrm>
          <a:off x="31749" y="101599"/>
          <a:ext cx="2582333" cy="590551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SFELIPE180890@G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andregonzalezc94@gmail.com" TargetMode="External"/><Relationship Id="rId1" Type="http://schemas.openxmlformats.org/officeDocument/2006/relationships/hyperlink" Target="mailto:JOHANPARDORUIZ@GMAIL.COM" TargetMode="External"/><Relationship Id="rId6" Type="http://schemas.openxmlformats.org/officeDocument/2006/relationships/customProperty" Target="../customProperty1.bin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ULIBETH17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showGridLines="0" tabSelected="1" zoomScale="120" zoomScaleNormal="120" workbookViewId="0">
      <selection activeCell="J15" sqref="J15"/>
    </sheetView>
  </sheetViews>
  <sheetFormatPr baseColWidth="10" defaultColWidth="11.453125" defaultRowHeight="14.5" x14ac:dyDescent="0.35"/>
  <cols>
    <col min="1" max="1" width="8.453125" style="7" bestFit="1" customWidth="1"/>
    <col min="2" max="2" width="15.81640625" style="7" customWidth="1"/>
    <col min="3" max="3" width="16.1796875" style="7" bestFit="1" customWidth="1"/>
    <col min="4" max="4" width="49.6328125" style="7" customWidth="1"/>
    <col min="5" max="5" width="16.1796875" style="8" customWidth="1"/>
    <col min="6" max="6" width="20.453125" style="8" customWidth="1"/>
    <col min="7" max="8" width="11.1796875" style="8" customWidth="1"/>
    <col min="9" max="9" width="16.81640625" style="9" customWidth="1"/>
    <col min="10" max="10" width="35.1796875" style="9" customWidth="1"/>
    <col min="11" max="16384" width="11.453125" style="7"/>
  </cols>
  <sheetData>
    <row r="1" spans="1:10" ht="15" customHeight="1" x14ac:dyDescent="0.35">
      <c r="A1" s="46" t="s">
        <v>16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5" customHeight="1" x14ac:dyDescent="0.35">
      <c r="A2" s="46"/>
      <c r="B2" s="46"/>
      <c r="C2" s="46"/>
      <c r="D2" s="46"/>
      <c r="E2" s="46"/>
      <c r="F2" s="46"/>
      <c r="G2" s="46"/>
      <c r="H2" s="46"/>
      <c r="I2" s="46"/>
      <c r="J2" s="46"/>
    </row>
    <row r="3" spans="1:10" ht="15" customHeight="1" x14ac:dyDescent="0.35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5" customHeight="1" x14ac:dyDescent="0.35">
      <c r="A4" s="47"/>
      <c r="B4" s="47"/>
      <c r="C4" s="47"/>
      <c r="D4" s="47"/>
      <c r="E4" s="47"/>
      <c r="F4" s="47"/>
      <c r="G4" s="47"/>
      <c r="H4" s="47"/>
      <c r="I4" s="47"/>
      <c r="J4" s="47"/>
    </row>
    <row r="5" spans="1:10" s="21" customFormat="1" ht="15" customHeight="1" x14ac:dyDescent="0.35">
      <c r="A5" s="31"/>
      <c r="B5" s="32"/>
      <c r="C5" s="32"/>
      <c r="D5" s="32"/>
      <c r="E5" s="32"/>
      <c r="F5" s="32"/>
      <c r="G5" s="32"/>
      <c r="H5" s="32"/>
      <c r="I5" s="32"/>
      <c r="J5" s="33"/>
    </row>
    <row r="6" spans="1:10" ht="20.5" customHeight="1" x14ac:dyDescent="0.35">
      <c r="A6" s="14"/>
      <c r="B6" s="18" t="s">
        <v>13</v>
      </c>
      <c r="C6" s="49" t="s">
        <v>31</v>
      </c>
      <c r="D6" s="49"/>
      <c r="E6" s="18" t="s">
        <v>12</v>
      </c>
      <c r="F6" s="22" t="s">
        <v>33</v>
      </c>
      <c r="G6" s="19"/>
      <c r="H6" s="20"/>
      <c r="I6" s="20"/>
      <c r="J6" s="15"/>
    </row>
    <row r="7" spans="1:10" ht="20.5" customHeight="1" x14ac:dyDescent="0.35">
      <c r="A7" s="14"/>
      <c r="B7" s="18" t="s">
        <v>0</v>
      </c>
      <c r="C7" s="48" t="s">
        <v>32</v>
      </c>
      <c r="D7" s="48"/>
      <c r="E7" s="18" t="s">
        <v>10</v>
      </c>
      <c r="F7" s="22" t="s">
        <v>30</v>
      </c>
      <c r="G7" s="19"/>
      <c r="H7" s="20"/>
      <c r="I7" s="20"/>
      <c r="J7" s="15"/>
    </row>
    <row r="8" spans="1:10" ht="20.5" customHeight="1" x14ac:dyDescent="0.35">
      <c r="A8" s="14"/>
      <c r="B8" s="18" t="s">
        <v>9</v>
      </c>
      <c r="C8" s="48">
        <v>20</v>
      </c>
      <c r="D8" s="48"/>
      <c r="E8" s="18" t="s">
        <v>11</v>
      </c>
      <c r="F8" s="22">
        <v>2026</v>
      </c>
      <c r="G8" s="19"/>
      <c r="H8" s="20"/>
      <c r="I8" s="20"/>
      <c r="J8" s="15"/>
    </row>
    <row r="9" spans="1:10" ht="15" customHeight="1" x14ac:dyDescent="0.35">
      <c r="A9" s="23"/>
      <c r="B9" s="24"/>
      <c r="C9" s="24"/>
      <c r="D9" s="24"/>
      <c r="E9" s="25"/>
      <c r="F9" s="25"/>
      <c r="G9" s="25"/>
      <c r="H9" s="25"/>
      <c r="I9" s="26"/>
      <c r="J9" s="27"/>
    </row>
    <row r="10" spans="1:10" s="17" customFormat="1" ht="28" customHeight="1" x14ac:dyDescent="0.35">
      <c r="A10" s="28" t="s">
        <v>1</v>
      </c>
      <c r="B10" s="28" t="s">
        <v>2</v>
      </c>
      <c r="C10" s="29" t="s">
        <v>3</v>
      </c>
      <c r="D10" s="29" t="s">
        <v>14</v>
      </c>
      <c r="E10" s="50" t="s">
        <v>4</v>
      </c>
      <c r="F10" s="51"/>
      <c r="G10" s="29" t="s">
        <v>5</v>
      </c>
      <c r="H10" s="29" t="s">
        <v>6</v>
      </c>
      <c r="I10" s="30" t="s">
        <v>7</v>
      </c>
      <c r="J10" s="29" t="s">
        <v>8</v>
      </c>
    </row>
    <row r="11" spans="1:10" ht="21" customHeight="1" x14ac:dyDescent="0.35">
      <c r="A11" s="39">
        <v>1</v>
      </c>
      <c r="B11" s="42" t="s">
        <v>17</v>
      </c>
      <c r="C11" s="40">
        <v>1030571881</v>
      </c>
      <c r="D11" s="41" t="s">
        <v>28</v>
      </c>
      <c r="E11" s="6" t="s">
        <v>29</v>
      </c>
      <c r="F11" s="11"/>
      <c r="G11" s="43" t="s">
        <v>36</v>
      </c>
      <c r="H11" s="45">
        <v>0.05</v>
      </c>
      <c r="I11" s="43" t="s">
        <v>36</v>
      </c>
      <c r="J11" s="43" t="s">
        <v>37</v>
      </c>
    </row>
    <row r="12" spans="1:10" ht="21" customHeight="1" x14ac:dyDescent="0.35">
      <c r="A12" s="39">
        <v>2</v>
      </c>
      <c r="B12" s="42" t="s">
        <v>17</v>
      </c>
      <c r="C12" s="40">
        <v>1105675589</v>
      </c>
      <c r="D12" s="41" t="s">
        <v>18</v>
      </c>
      <c r="E12" s="6" t="s">
        <v>19</v>
      </c>
      <c r="F12" s="11"/>
      <c r="G12" s="43" t="s">
        <v>36</v>
      </c>
      <c r="H12" s="45">
        <v>0.05</v>
      </c>
      <c r="I12" s="43" t="s">
        <v>36</v>
      </c>
      <c r="J12" s="43" t="s">
        <v>36</v>
      </c>
    </row>
    <row r="13" spans="1:10" ht="21" customHeight="1" x14ac:dyDescent="0.35">
      <c r="A13" s="39">
        <v>3</v>
      </c>
      <c r="B13" s="42" t="s">
        <v>17</v>
      </c>
      <c r="C13" s="40">
        <v>1022373898</v>
      </c>
      <c r="D13" s="41" t="s">
        <v>20</v>
      </c>
      <c r="E13" s="6" t="s">
        <v>21</v>
      </c>
      <c r="F13" s="11"/>
      <c r="G13" s="43" t="s">
        <v>36</v>
      </c>
      <c r="H13" s="43"/>
      <c r="I13" s="43" t="s">
        <v>36</v>
      </c>
      <c r="J13" s="43" t="s">
        <v>36</v>
      </c>
    </row>
    <row r="14" spans="1:10" ht="21" customHeight="1" x14ac:dyDescent="0.35">
      <c r="A14" s="39">
        <v>4</v>
      </c>
      <c r="B14" s="42" t="s">
        <v>17</v>
      </c>
      <c r="C14" s="40">
        <v>1012414210</v>
      </c>
      <c r="D14" s="41" t="s">
        <v>22</v>
      </c>
      <c r="E14" s="6" t="s">
        <v>23</v>
      </c>
      <c r="F14" s="11"/>
      <c r="G14" s="43" t="s">
        <v>36</v>
      </c>
      <c r="H14" s="45">
        <v>0.05</v>
      </c>
      <c r="I14" s="43" t="s">
        <v>37</v>
      </c>
      <c r="J14" s="43" t="s">
        <v>36</v>
      </c>
    </row>
    <row r="15" spans="1:10" ht="21" customHeight="1" x14ac:dyDescent="0.35">
      <c r="A15" s="39">
        <v>5</v>
      </c>
      <c r="B15" s="42" t="s">
        <v>17</v>
      </c>
      <c r="C15" s="40">
        <v>1000287668</v>
      </c>
      <c r="D15" s="41" t="s">
        <v>24</v>
      </c>
      <c r="E15" s="6" t="s">
        <v>25</v>
      </c>
      <c r="F15" s="11"/>
      <c r="G15" s="43" t="s">
        <v>36</v>
      </c>
      <c r="H15" s="45">
        <v>0.15</v>
      </c>
      <c r="I15" s="43" t="s">
        <v>36</v>
      </c>
      <c r="J15" s="43" t="s">
        <v>36</v>
      </c>
    </row>
    <row r="16" spans="1:10" ht="21" customHeight="1" x14ac:dyDescent="0.35">
      <c r="A16" s="39">
        <v>6</v>
      </c>
      <c r="B16" s="42" t="s">
        <v>17</v>
      </c>
      <c r="C16" s="40">
        <v>1018437179</v>
      </c>
      <c r="D16" s="41" t="s">
        <v>26</v>
      </c>
      <c r="E16" s="6" t="s">
        <v>27</v>
      </c>
      <c r="F16" s="11"/>
      <c r="G16" s="43" t="s">
        <v>36</v>
      </c>
      <c r="H16" s="45">
        <v>0.05</v>
      </c>
      <c r="I16" s="43" t="s">
        <v>36</v>
      </c>
      <c r="J16" s="43" t="s">
        <v>36</v>
      </c>
    </row>
    <row r="17" spans="1:10" ht="21" customHeight="1" x14ac:dyDescent="0.35">
      <c r="A17" s="39">
        <v>7</v>
      </c>
      <c r="B17" s="42" t="s">
        <v>17</v>
      </c>
      <c r="C17" s="40">
        <v>1033719488</v>
      </c>
      <c r="D17" s="41" t="s">
        <v>34</v>
      </c>
      <c r="E17" s="6" t="s">
        <v>35</v>
      </c>
      <c r="F17" s="11"/>
      <c r="G17" s="43" t="s">
        <v>36</v>
      </c>
      <c r="H17" s="45">
        <v>0.1</v>
      </c>
      <c r="I17" s="43" t="s">
        <v>36</v>
      </c>
      <c r="J17" s="43" t="s">
        <v>36</v>
      </c>
    </row>
  </sheetData>
  <sortState xmlns:xlrd2="http://schemas.microsoft.com/office/spreadsheetml/2017/richdata2" ref="C12:D15">
    <sortCondition ref="D12:D15"/>
  </sortState>
  <mergeCells count="5">
    <mergeCell ref="A1:J4"/>
    <mergeCell ref="C8:D8"/>
    <mergeCell ref="C6:D6"/>
    <mergeCell ref="E10:F10"/>
    <mergeCell ref="C7:D7"/>
  </mergeCells>
  <phoneticPr fontId="9" type="noConversion"/>
  <hyperlinks>
    <hyperlink ref="E15" r:id="rId1" tooltip="mailto:JOHANPARDORUIZ@GMAIL.COM" display="mailto:JOHANPARDORUIZ@GMAIL.COM" xr:uid="{4F0BDCC4-B771-E24D-922A-E1B42A68C9FE}"/>
    <hyperlink ref="E14" r:id="rId2" tooltip="mailto:andregonzalezc94@gmail.com" display="mailto:andregonzalezc94@gmail.com" xr:uid="{E22224DE-B20C-F144-B70D-DB8C43179628}"/>
    <hyperlink ref="E16" r:id="rId3" tooltip="mailto:ANDRESFELIPE180890@GMAIL.COM" display="mailto:ANDRESFELIPE180890@GMAIL.COM" xr:uid="{55D1DAE2-18FB-8C43-8CBC-C23F59986808}"/>
    <hyperlink ref="E13" r:id="rId4" tooltip="mailto:JULIBETH17@HOTMAIL.COM" display="mailto:JULIBETH17@HOTMAIL.COM" xr:uid="{FD1D1224-2A8E-6F4E-ACF4-728ED9628475}"/>
  </hyperlinks>
  <pageMargins left="0.7" right="0.7" top="0.75" bottom="0.75" header="0.3" footer="0.3"/>
  <pageSetup scale="98" orientation="portrait" r:id="rId5"/>
  <customProperties>
    <customPr name="_pios_id" r:id="rId6"/>
  </customPropertie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7"/>
  <sheetViews>
    <sheetView showGridLines="0" zoomScale="120" zoomScaleNormal="120" workbookViewId="0">
      <selection activeCell="K12" sqref="K12"/>
    </sheetView>
  </sheetViews>
  <sheetFormatPr baseColWidth="10" defaultColWidth="11.453125" defaultRowHeight="14.5" x14ac:dyDescent="0.35"/>
  <cols>
    <col min="1" max="1" width="4.6328125" style="7" customWidth="1"/>
    <col min="2" max="2" width="14" style="7" bestFit="1" customWidth="1"/>
    <col min="3" max="3" width="19.1796875" style="7" bestFit="1" customWidth="1"/>
    <col min="4" max="4" width="50.6328125" style="7" bestFit="1" customWidth="1"/>
    <col min="5" max="5" width="14.36328125" style="8" customWidth="1"/>
    <col min="6" max="6" width="14.81640625" style="8" customWidth="1"/>
    <col min="7" max="11" width="14.36328125" style="8" customWidth="1"/>
    <col min="12" max="16384" width="11.453125" style="7"/>
  </cols>
  <sheetData>
    <row r="1" spans="1:13" ht="16.5" customHeight="1" x14ac:dyDescent="0.35">
      <c r="A1" s="52" t="str">
        <f>NOTAS!A1</f>
        <v xml:space="preserve">                       MAESTRÍA EN ANALÍTICA Y GERENCIA DE DATOS - COHORTE - 5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2" spans="1:13" ht="16.5" customHeight="1" x14ac:dyDescent="0.35">
      <c r="A2" s="55"/>
      <c r="B2" s="56"/>
      <c r="C2" s="56"/>
      <c r="D2" s="56"/>
      <c r="E2" s="56"/>
      <c r="F2" s="56"/>
      <c r="G2" s="56"/>
      <c r="H2" s="56"/>
      <c r="I2" s="56"/>
      <c r="J2" s="56"/>
      <c r="K2" s="57"/>
    </row>
    <row r="3" spans="1:13" ht="16.5" customHeight="1" x14ac:dyDescent="0.35">
      <c r="A3" s="55"/>
      <c r="B3" s="56"/>
      <c r="C3" s="56"/>
      <c r="D3" s="56"/>
      <c r="E3" s="56"/>
      <c r="F3" s="56"/>
      <c r="G3" s="56"/>
      <c r="H3" s="56"/>
      <c r="I3" s="56"/>
      <c r="J3" s="56"/>
      <c r="K3" s="57"/>
    </row>
    <row r="4" spans="1:13" ht="16.5" customHeight="1" x14ac:dyDescent="0.35">
      <c r="A4" s="55"/>
      <c r="B4" s="56"/>
      <c r="C4" s="56"/>
      <c r="D4" s="56"/>
      <c r="E4" s="56"/>
      <c r="F4" s="56"/>
      <c r="G4" s="56"/>
      <c r="H4" s="56"/>
      <c r="I4" s="56"/>
      <c r="J4" s="56"/>
      <c r="K4" s="57"/>
    </row>
    <row r="5" spans="1:13" s="21" customFormat="1" ht="16.5" customHeight="1" x14ac:dyDescent="0.35">
      <c r="A5" s="34"/>
      <c r="B5" s="35"/>
      <c r="C5" s="35"/>
      <c r="D5" s="35"/>
      <c r="E5" s="35"/>
      <c r="F5" s="35"/>
      <c r="G5" s="35"/>
      <c r="H5" s="35"/>
      <c r="I5" s="35"/>
      <c r="J5" s="35"/>
      <c r="K5" s="36"/>
    </row>
    <row r="6" spans="1:13" ht="20.5" customHeight="1" x14ac:dyDescent="0.35">
      <c r="A6" s="14"/>
      <c r="B6" s="18" t="str">
        <f>NOTAS!B6</f>
        <v xml:space="preserve">MÓDULO: </v>
      </c>
      <c r="C6" s="49" t="str">
        <f>+NOTAS!C6</f>
        <v>CASOS DE ESTUDIO APLICADOS AL SECTOR FINANCIERO</v>
      </c>
      <c r="D6" s="49"/>
      <c r="E6" s="18" t="str">
        <f>NOTAS!E6</f>
        <v>CÓDIGO:</v>
      </c>
      <c r="F6" s="22" t="str">
        <f>+NOTAS!F6</f>
        <v>POS51776</v>
      </c>
      <c r="G6" s="20"/>
      <c r="H6" s="20"/>
      <c r="I6" s="20"/>
      <c r="J6" s="20"/>
      <c r="K6" s="15"/>
      <c r="M6" s="13"/>
    </row>
    <row r="7" spans="1:13" ht="20.5" customHeight="1" x14ac:dyDescent="0.35">
      <c r="A7" s="14"/>
      <c r="B7" s="18" t="str">
        <f>NOTAS!B7</f>
        <v xml:space="preserve">DOCENTE: </v>
      </c>
      <c r="C7" s="49" t="str">
        <f>+NOTAS!C7</f>
        <v>XIMENA QUIROGA</v>
      </c>
      <c r="D7" s="49"/>
      <c r="E7" s="18" t="str">
        <f>NOTAS!E7</f>
        <v>PERIODO:</v>
      </c>
      <c r="F7" s="22" t="str">
        <f>+NOTAS!F7</f>
        <v>2025 - 20</v>
      </c>
      <c r="G7" s="20"/>
      <c r="H7" s="20"/>
      <c r="I7" s="20"/>
      <c r="J7" s="20"/>
      <c r="K7" s="15"/>
    </row>
    <row r="8" spans="1:13" ht="20.5" customHeight="1" x14ac:dyDescent="0.35">
      <c r="A8" s="14"/>
      <c r="B8" s="18" t="str">
        <f>NOTAS!B8</f>
        <v xml:space="preserve">N° HORAS: </v>
      </c>
      <c r="C8" s="49">
        <f>+NOTAS!C8</f>
        <v>20</v>
      </c>
      <c r="D8" s="49"/>
      <c r="E8" s="18" t="str">
        <f>NOTAS!E8</f>
        <v>AÑO:</v>
      </c>
      <c r="F8" s="22">
        <f>+NOTAS!F8</f>
        <v>2026</v>
      </c>
      <c r="G8" s="20"/>
      <c r="H8" s="20"/>
      <c r="I8" s="20"/>
      <c r="J8" s="20"/>
      <c r="K8" s="15"/>
    </row>
    <row r="9" spans="1:13" ht="15" customHeight="1" x14ac:dyDescent="0.35">
      <c r="A9" s="23"/>
      <c r="B9" s="37"/>
      <c r="C9" s="24"/>
      <c r="D9" s="24"/>
      <c r="E9" s="25"/>
      <c r="F9" s="25"/>
      <c r="G9" s="25"/>
      <c r="H9" s="25"/>
      <c r="I9" s="25"/>
      <c r="J9" s="25"/>
      <c r="K9" s="38"/>
    </row>
    <row r="10" spans="1:13" s="17" customFormat="1" ht="38" customHeight="1" x14ac:dyDescent="0.35">
      <c r="A10" s="1" t="s">
        <v>1</v>
      </c>
      <c r="B10" s="1" t="str">
        <f>+NOTAS!B10</f>
        <v>PROG</v>
      </c>
      <c r="C10" s="1" t="s">
        <v>3</v>
      </c>
      <c r="D10" s="1" t="s">
        <v>14</v>
      </c>
      <c r="E10" s="5">
        <v>46077</v>
      </c>
      <c r="F10" s="5">
        <v>46078</v>
      </c>
      <c r="G10" s="5">
        <v>46079</v>
      </c>
      <c r="H10" s="5">
        <v>46084</v>
      </c>
      <c r="I10" s="5">
        <v>46085</v>
      </c>
      <c r="J10" s="5">
        <v>46086</v>
      </c>
      <c r="K10" s="2" t="s">
        <v>15</v>
      </c>
    </row>
    <row r="11" spans="1:13" ht="20" customHeight="1" x14ac:dyDescent="0.35">
      <c r="A11" s="44">
        <f>+NOTAS!A11</f>
        <v>1</v>
      </c>
      <c r="B11" s="16" t="str">
        <f>+NOTAS!B11</f>
        <v>MAGD - 5</v>
      </c>
      <c r="C11" s="12">
        <f>+NOTAS!C11</f>
        <v>1030571881</v>
      </c>
      <c r="D11" s="10" t="str">
        <f>+NOTAS!D11</f>
        <v>Alvarez Navarro Erika Yamile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  <c r="J11" s="3" t="b">
        <v>0</v>
      </c>
      <c r="K11" s="4">
        <f>+COUNTIF(E11:J11,TRUE)</f>
        <v>0</v>
      </c>
    </row>
    <row r="12" spans="1:13" ht="20" customHeight="1" x14ac:dyDescent="0.35">
      <c r="A12" s="44">
        <f>NOTAS!A12</f>
        <v>2</v>
      </c>
      <c r="B12" s="16" t="str">
        <f>NOTAS!B12</f>
        <v>MAGD - 5</v>
      </c>
      <c r="C12" s="12">
        <f>NOTAS!C12</f>
        <v>1105675589</v>
      </c>
      <c r="D12" s="10" t="str">
        <f>NOTAS!D12</f>
        <v>Arias Pacheco  Jaime Oswaldo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  <c r="J12" s="3" t="b">
        <v>0</v>
      </c>
      <c r="K12" s="4">
        <f t="shared" ref="K12:K16" si="0">+COUNTIF(E12:J12,TRUE)</f>
        <v>0</v>
      </c>
    </row>
    <row r="13" spans="1:13" ht="20" customHeight="1" x14ac:dyDescent="0.35">
      <c r="A13" s="44">
        <f>NOTAS!A13</f>
        <v>3</v>
      </c>
      <c r="B13" s="16" t="str">
        <f>NOTAS!B13</f>
        <v>MAGD - 5</v>
      </c>
      <c r="C13" s="12">
        <f>NOTAS!C13</f>
        <v>1022373898</v>
      </c>
      <c r="D13" s="10" t="str">
        <f>NOTAS!D13</f>
        <v>Castro González Juliana Ibeth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  <c r="J13" s="3" t="b">
        <v>0</v>
      </c>
      <c r="K13" s="4">
        <f t="shared" si="0"/>
        <v>0</v>
      </c>
    </row>
    <row r="14" spans="1:13" ht="20" customHeight="1" x14ac:dyDescent="0.35">
      <c r="A14" s="44">
        <f>NOTAS!A14</f>
        <v>4</v>
      </c>
      <c r="B14" s="16" t="str">
        <f>NOTAS!B14</f>
        <v>MAGD - 5</v>
      </c>
      <c r="C14" s="12">
        <f>NOTAS!C14</f>
        <v>1012414210</v>
      </c>
      <c r="D14" s="10" t="str">
        <f>NOTAS!D14</f>
        <v>González Campo Andrea Viviana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  <c r="J14" s="3" t="b">
        <v>0</v>
      </c>
      <c r="K14" s="4">
        <f t="shared" si="0"/>
        <v>0</v>
      </c>
    </row>
    <row r="15" spans="1:13" ht="20" customHeight="1" x14ac:dyDescent="0.35">
      <c r="A15" s="44">
        <f>NOTAS!A15</f>
        <v>5</v>
      </c>
      <c r="B15" s="16" t="str">
        <f>NOTAS!B15</f>
        <v>MAGD - 5</v>
      </c>
      <c r="C15" s="12">
        <f>NOTAS!C15</f>
        <v>1000287668</v>
      </c>
      <c r="D15" s="10" t="str">
        <f>NOTAS!D15</f>
        <v>Pardo Ruiz Johan Sebastian</v>
      </c>
      <c r="E15" s="3" t="b">
        <v>0</v>
      </c>
      <c r="F15" s="3" t="b">
        <v>0</v>
      </c>
      <c r="G15" s="3" t="b">
        <v>0</v>
      </c>
      <c r="H15" s="3" t="b">
        <v>0</v>
      </c>
      <c r="I15" s="3" t="b">
        <v>0</v>
      </c>
      <c r="J15" s="3" t="b">
        <v>0</v>
      </c>
      <c r="K15" s="4">
        <f t="shared" si="0"/>
        <v>0</v>
      </c>
    </row>
    <row r="16" spans="1:13" ht="20" customHeight="1" x14ac:dyDescent="0.35">
      <c r="A16" s="44">
        <f>NOTAS!A16</f>
        <v>6</v>
      </c>
      <c r="B16" s="16" t="str">
        <f>NOTAS!B16</f>
        <v>MAGD - 5</v>
      </c>
      <c r="C16" s="12">
        <f>NOTAS!C16</f>
        <v>1018437179</v>
      </c>
      <c r="D16" s="10" t="str">
        <f>NOTAS!D16</f>
        <v>Sierra Vallejo Andres Felipe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  <c r="J16" s="3" t="b">
        <v>0</v>
      </c>
      <c r="K16" s="4">
        <f t="shared" si="0"/>
        <v>0</v>
      </c>
    </row>
    <row r="17" spans="1:11" ht="18.5" x14ac:dyDescent="0.35">
      <c r="A17" s="44">
        <f>NOTAS!A17</f>
        <v>7</v>
      </c>
      <c r="B17" s="16" t="str">
        <f>NOTAS!B17</f>
        <v>MAGD - 5</v>
      </c>
      <c r="C17" s="12">
        <f>NOTAS!C17</f>
        <v>1033719488</v>
      </c>
      <c r="D17" s="10" t="str">
        <f>NOTAS!D17</f>
        <v>Avila Marcela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  <c r="K17" s="4">
        <f t="shared" ref="K17" si="1">+COUNTIF(E17:J17,TRUE)</f>
        <v>0</v>
      </c>
    </row>
  </sheetData>
  <mergeCells count="4">
    <mergeCell ref="A1:K4"/>
    <mergeCell ref="C6:D6"/>
    <mergeCell ref="C7:D7"/>
    <mergeCell ref="C8:D8"/>
  </mergeCells>
  <phoneticPr fontId="9" type="noConversion"/>
  <conditionalFormatting sqref="K11:K1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{C80DE070-4D72-4A59-920F-3FFCEF5330C1}</x14:id>
        </ext>
      </extLst>
    </cfRule>
  </conditionalFormatting>
  <pageMargins left="0.70866141732283472" right="0.70866141732283472" top="0.35433070866141736" bottom="0.27559055118110237" header="0.31496062992125984" footer="0.31496062992125984"/>
  <pageSetup orientation="landscape" r:id="rId1"/>
  <customProperties>
    <customPr name="_pios_id" r:id="rId2"/>
  </customPropertie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0DE070-4D72-4A59-920F-3FFCEF5330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K11:K17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NOTAS</vt:lpstr>
      <vt:lpstr>ASISTENCIA </vt:lpstr>
      <vt:lpstr>'ASISTENCIA '!Área_de_impresión</vt:lpstr>
      <vt:lpstr>NOTAS!Área_de_impresión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Practicante Sena Prime Business School</dc:creator>
  <cp:keywords/>
  <dc:description/>
  <cp:lastModifiedBy>Caro Perdomo, Julian (Allianz Compania de Seguros y Re</cp:lastModifiedBy>
  <cp:revision/>
  <dcterms:created xsi:type="dcterms:W3CDTF">2016-12-05T16:38:24Z</dcterms:created>
  <dcterms:modified xsi:type="dcterms:W3CDTF">2026-03-05T23:44:14Z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2026-02-24T18:34:26Z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b1f5488a-9bbb-4bae-b6ee-b5b306579ba6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